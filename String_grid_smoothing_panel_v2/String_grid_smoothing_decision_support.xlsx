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prado\Downloads\"/>
    </mc:Choice>
  </mc:AlternateContent>
  <xr:revisionPtr revIDLastSave="0" documentId="11_4CC39930F1E400BB7C1123BEA07A4E5D3421555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ision To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E18" i="1"/>
  <c r="D18" i="1"/>
  <c r="C18" i="1"/>
  <c r="F17" i="1"/>
  <c r="E17" i="1"/>
  <c r="D17" i="1"/>
  <c r="C17" i="1"/>
  <c r="F16" i="1"/>
  <c r="E16" i="1"/>
  <c r="D16" i="1"/>
  <c r="C16" i="1"/>
  <c r="E15" i="1"/>
  <c r="D15" i="1"/>
  <c r="F15" i="1" s="1"/>
  <c r="C15" i="1"/>
  <c r="F14" i="1"/>
  <c r="F12" i="1"/>
  <c r="F11" i="1"/>
  <c r="E11" i="1"/>
  <c r="D11" i="1"/>
  <c r="C11" i="1"/>
  <c r="E10" i="1"/>
  <c r="D10" i="1"/>
  <c r="F10" i="1" s="1"/>
  <c r="C10" i="1"/>
  <c r="F9" i="1"/>
</calcChain>
</file>

<file path=xl/sharedStrings.xml><?xml version="1.0" encoding="utf-8"?>
<sst xmlns="http://schemas.openxmlformats.org/spreadsheetml/2006/main" count="43" uniqueCount="42">
  <si>
    <t>12d Model String grid smoothing – decision-support parameters</t>
  </si>
  <si>
    <t>Grid Resolution (G)</t>
  </si>
  <si>
    <t>m</t>
  </si>
  <si>
    <t>Scenario selector</t>
  </si>
  <si>
    <t>Vertical RMSE (E)</t>
  </si>
  <si>
    <t>Medium</t>
  </si>
  <si>
    <t>Notes</t>
  </si>
  <si>
    <t>Enter G as the grid spacing (model units). Enter E as the vertical RMSE of the source surface (metres). The table below calculates three parameter sets you can copy into the macro panel.</t>
  </si>
  <si>
    <t>Parameter (macro panel name)</t>
  </si>
  <si>
    <t>Guidance</t>
  </si>
  <si>
    <t>Scenario 1 (Light)</t>
  </si>
  <si>
    <t>Scenario 2 (Medium)</t>
  </si>
  <si>
    <t>Scenario 3 (Strong)</t>
  </si>
  <si>
    <t>Selected (from selector)</t>
  </si>
  <si>
    <t>Stage 1: Median Spike Filter</t>
  </si>
  <si>
    <t>Median window size</t>
  </si>
  <si>
    <t>Defines the square search area. Use 3 for narrow features like stream inverts.</t>
  </si>
  <si>
    <t>Spike tolerance</t>
  </si>
  <si>
    <t>The vertical threshold to trigger a replacement. Lower values are more aggressive.</t>
  </si>
  <si>
    <t>Median maximum vertical change</t>
  </si>
  <si>
    <t>A safety cap that stops the median filter from lifting features (like channel inverts) too far in one pass.</t>
  </si>
  <si>
    <t>Minimum valid neighbours</t>
  </si>
  <si>
    <t>Minimum valid neighbouring cells required before a median value is used.</t>
  </si>
  <si>
    <t>Stage 2: Bilateral Smoothing</t>
  </si>
  <si>
    <t>Bilateral window size</t>
  </si>
  <si>
    <t>Bilateral spatial sigma</t>
  </si>
  <si>
    <t>Controls how weight decays with distance; should be 1–2 times the grid spacing.</t>
  </si>
  <si>
    <t>Bilateral range sigma</t>
  </si>
  <si>
    <t>Bilateral noise threshold</t>
  </si>
  <si>
    <t>Bilateral maximum vertical change</t>
  </si>
  <si>
    <t>Scenario use cases</t>
  </si>
  <si>
    <t>Scenario 1 (Light):</t>
  </si>
  <si>
    <t xml:space="preserve"> Stream inverts, top-of-kerbs, and high-precision design where features must be preserved.</t>
  </si>
  <si>
    <t>Scenario 2 (Medium):</t>
  </si>
  <si>
    <t xml:space="preserve"> Standard cleanup for general terrain, road surfaces, and residential lots.</t>
  </si>
  <si>
    <t>Scenario 3 (Strong):</t>
  </si>
  <si>
    <t>Cartographic smoothing for broad floodplains and generating smooth contours.</t>
  </si>
  <si>
    <t>Reviewed defaults: values are starting points; test sections through channels, kerbs and batters before adopting.</t>
  </si>
  <si>
    <t>Odd window size. Use 3 for channels/kerbs; use 5 only for broader general terrain or cartographic smoothing.</t>
  </si>
  <si>
    <t>Range sigma controls edge preservation. Use about 1.5–3 × vertical RMSE; higher values smooth across larger vertical differences.</t>
  </si>
  <si>
    <t>Minimum change needed before Bilateral writes a new value. Keep small; high values can leave 0.05–0.10 m chatter unchanged.</t>
  </si>
  <si>
    <t>Per-pass safety cap for Bilateral movement. Lower values better preserve channels, kerbs and drainage inverts.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</si>
</sst>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</font>
    <font>
      <b/>
      <sz val="14"/>
      <name val="Calibri"/>
    </font>
    <font>
      <b/>
      <sz val="11"/>
      <name val="Calibri"/>
    </font>
    <font>
      <i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 wrapText="1"/>
    </xf>
    <xf numFmtId="164" fontId="0" fillId="2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topLeftCell="A2" workbookViewId="0">
      <selection activeCell="C16" sqref="C16"/>
    </sheetView>
  </sheetViews>
  <sheetFormatPr defaultRowHeight="15" x14ac:dyDescent="0.25"/>
  <cols>
    <col min="1" max="1" width="31" customWidth="1"/>
    <col min="2" max="2" width="62" customWidth="1"/>
    <col min="3" max="6" width="17" customWidth="1"/>
  </cols>
  <sheetData>
    <row r="1" spans="1:6" ht="18.75" x14ac:dyDescent="0.25">
      <c r="A1" s="16" t="s">
        <v>0</v>
      </c>
      <c r="B1" s="17"/>
      <c r="C1" s="17"/>
      <c r="D1" s="17"/>
      <c r="E1" s="17"/>
      <c r="F1" s="17"/>
    </row>
    <row r="2" spans="1:6" ht="60" x14ac:dyDescent="0.25">
      <c r="A2" s="13" t="s">
        <v>37</v>
      </c>
      <c r="B2" s="13"/>
      <c r="C2" s="13"/>
      <c r="D2" s="13"/>
      <c r="E2" s="13"/>
      <c r="F2" s="13"/>
    </row>
    <row r="3" spans="1:6" x14ac:dyDescent="0.25">
      <c r="A3" s="1" t="s">
        <v>1</v>
      </c>
      <c r="B3" s="2">
        <v>1</v>
      </c>
      <c r="C3" s="3" t="s">
        <v>2</v>
      </c>
      <c r="F3" s="1" t="s">
        <v>3</v>
      </c>
    </row>
    <row r="4" spans="1:6" x14ac:dyDescent="0.25">
      <c r="A4" s="1" t="s">
        <v>4</v>
      </c>
      <c r="B4" s="2">
        <v>3.5000000000000003E-2</v>
      </c>
      <c r="C4" s="3" t="s">
        <v>2</v>
      </c>
      <c r="F4" s="4" t="s">
        <v>5</v>
      </c>
    </row>
    <row r="5" spans="1:6" x14ac:dyDescent="0.25">
      <c r="A5" s="1" t="s">
        <v>6</v>
      </c>
      <c r="B5" s="18" t="s">
        <v>7</v>
      </c>
      <c r="C5" s="17"/>
      <c r="D5" s="17"/>
      <c r="E5" s="17"/>
      <c r="F5" s="17"/>
    </row>
    <row r="7" spans="1:6" ht="30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</row>
    <row r="8" spans="1:6" x14ac:dyDescent="0.25">
      <c r="A8" s="14" t="s">
        <v>14</v>
      </c>
      <c r="B8" s="15"/>
      <c r="C8" s="15"/>
      <c r="D8" s="15"/>
      <c r="E8" s="15"/>
      <c r="F8" s="15"/>
    </row>
    <row r="9" spans="1:6" ht="30" x14ac:dyDescent="0.25">
      <c r="A9" s="7" t="s">
        <v>15</v>
      </c>
      <c r="B9" s="8" t="s">
        <v>16</v>
      </c>
      <c r="C9" s="9">
        <v>3</v>
      </c>
      <c r="D9" s="9">
        <v>3</v>
      </c>
      <c r="E9" s="9">
        <v>5</v>
      </c>
      <c r="F9" s="9">
        <f>CHOOSE(MATCH($F$4,{"Light","Medium","Strong"},0),C9,D9,E9)</f>
        <v>3</v>
      </c>
    </row>
    <row r="10" spans="1:6" ht="30" x14ac:dyDescent="0.25">
      <c r="A10" s="7" t="s">
        <v>17</v>
      </c>
      <c r="B10" s="8" t="s">
        <v>18</v>
      </c>
      <c r="C10" s="10">
        <f>4*$B$4</f>
        <v>0.14000000000000001</v>
      </c>
      <c r="D10" s="10">
        <f>5*$B$4</f>
        <v>0.17500000000000002</v>
      </c>
      <c r="E10" s="10">
        <f>6*$B$4</f>
        <v>0.21000000000000002</v>
      </c>
      <c r="F10" s="10">
        <f>CHOOSE(MATCH($F$4,{"Light","Medium","Strong"},0),C10,D10,E10)</f>
        <v>0.17500000000000002</v>
      </c>
    </row>
    <row r="11" spans="1:6" ht="30" x14ac:dyDescent="0.25">
      <c r="A11" s="7" t="s">
        <v>19</v>
      </c>
      <c r="B11" s="8" t="s">
        <v>20</v>
      </c>
      <c r="C11" s="10">
        <f>1.5*$B$4</f>
        <v>5.2500000000000005E-2</v>
      </c>
      <c r="D11" s="10">
        <f>2*$B$4</f>
        <v>7.0000000000000007E-2</v>
      </c>
      <c r="E11" s="10">
        <f>3*$B$4</f>
        <v>0.10500000000000001</v>
      </c>
      <c r="F11" s="10">
        <f>CHOOSE(MATCH($F$4,{"Light","Medium","Strong"},0),C11,D11,E11)</f>
        <v>7.0000000000000007E-2</v>
      </c>
    </row>
    <row r="12" spans="1:6" ht="30" x14ac:dyDescent="0.25">
      <c r="A12" s="7" t="s">
        <v>21</v>
      </c>
      <c r="B12" s="8" t="s">
        <v>22</v>
      </c>
      <c r="C12" s="9">
        <v>5</v>
      </c>
      <c r="D12" s="9">
        <v>6</v>
      </c>
      <c r="E12" s="9">
        <v>8</v>
      </c>
      <c r="F12" s="9">
        <f>CHOOSE(MATCH($F$4,{"Light","Medium","Strong"},0),C12,D12,E12)</f>
        <v>6</v>
      </c>
    </row>
    <row r="13" spans="1:6" x14ac:dyDescent="0.25">
      <c r="A13" s="14" t="s">
        <v>23</v>
      </c>
      <c r="B13" s="15"/>
      <c r="C13" s="15"/>
      <c r="D13" s="15"/>
      <c r="E13" s="15"/>
      <c r="F13" s="15"/>
    </row>
    <row r="14" spans="1:6" ht="30" x14ac:dyDescent="0.25">
      <c r="A14" s="12" t="s">
        <v>24</v>
      </c>
      <c r="B14" s="8" t="s">
        <v>38</v>
      </c>
      <c r="C14" s="9">
        <v>3</v>
      </c>
      <c r="D14" s="9">
        <v>5</v>
      </c>
      <c r="E14" s="9">
        <v>5</v>
      </c>
      <c r="F14" s="9">
        <f>CHOOSE(MATCH($F$4,{"Light","Medium","Strong"},0),C14,D14,E14)</f>
        <v>5</v>
      </c>
    </row>
    <row r="15" spans="1:6" ht="30" x14ac:dyDescent="0.25">
      <c r="A15" s="12" t="s">
        <v>25</v>
      </c>
      <c r="B15" s="8" t="s">
        <v>26</v>
      </c>
      <c r="C15" s="10">
        <f>$B$3</f>
        <v>1</v>
      </c>
      <c r="D15" s="10">
        <f>2*$B$3</f>
        <v>2</v>
      </c>
      <c r="E15" s="10">
        <f>3*$B$3</f>
        <v>3</v>
      </c>
      <c r="F15" s="10">
        <f>CHOOSE(MATCH($F$4,{"Light","Medium","Strong"},0),C15,D15,E15)</f>
        <v>2</v>
      </c>
    </row>
    <row r="16" spans="1:6" ht="30" x14ac:dyDescent="0.25">
      <c r="A16" s="12" t="s">
        <v>27</v>
      </c>
      <c r="B16" s="8" t="s">
        <v>39</v>
      </c>
      <c r="C16" s="10">
        <f>1.5*$B$4</f>
        <v>5.2500000000000005E-2</v>
      </c>
      <c r="D16" s="10">
        <f>2*$B$4</f>
        <v>7.0000000000000007E-2</v>
      </c>
      <c r="E16" s="10">
        <f>3*$B$4</f>
        <v>0.10500000000000001</v>
      </c>
      <c r="F16" s="10">
        <f>CHOOSE(MATCH($F$4,{"Light","Medium","Strong"},0),C16,D16,E16)</f>
        <v>7.0000000000000007E-2</v>
      </c>
    </row>
    <row r="17" spans="1:6" ht="30" x14ac:dyDescent="0.25">
      <c r="A17" s="12" t="s">
        <v>28</v>
      </c>
      <c r="B17" s="8" t="s">
        <v>40</v>
      </c>
      <c r="C17" s="10">
        <f>0*$B$4</f>
        <v>0</v>
      </c>
      <c r="D17" s="10">
        <f>0.25*$B$4</f>
        <v>8.7500000000000008E-3</v>
      </c>
      <c r="E17" s="10">
        <f>0.5*$B$4</f>
        <v>1.7500000000000002E-2</v>
      </c>
      <c r="F17" s="10">
        <f>CHOOSE(MATCH($F$4,{"Light","Medium","Strong"},0),C17,D17,E17)</f>
        <v>8.7500000000000008E-3</v>
      </c>
    </row>
    <row r="18" spans="1:6" ht="30" x14ac:dyDescent="0.25">
      <c r="A18" s="12" t="s">
        <v>29</v>
      </c>
      <c r="B18" s="8" t="s">
        <v>41</v>
      </c>
      <c r="C18" s="10">
        <f>1*$B$4</f>
        <v>3.5000000000000003E-2</v>
      </c>
      <c r="D18" s="10">
        <f>1.5*$B$4</f>
        <v>5.2500000000000005E-2</v>
      </c>
      <c r="E18" s="10">
        <f>2*$B$4</f>
        <v>7.0000000000000007E-2</v>
      </c>
      <c r="F18" s="10">
        <f>CHOOSE(MATCH($F$4,{"Light","Medium","Strong"},0),C18,D18,E18)</f>
        <v>5.2500000000000005E-2</v>
      </c>
    </row>
    <row r="20" spans="1:6" x14ac:dyDescent="0.25">
      <c r="A20" s="19" t="s">
        <v>30</v>
      </c>
      <c r="B20" s="15"/>
      <c r="C20" s="15"/>
      <c r="D20" s="15"/>
      <c r="E20" s="15"/>
      <c r="F20" s="15"/>
    </row>
    <row r="21" spans="1:6" ht="30" customHeight="1" x14ac:dyDescent="0.25">
      <c r="A21" s="11" t="s">
        <v>31</v>
      </c>
      <c r="B21" s="7" t="s">
        <v>32</v>
      </c>
      <c r="C21" s="6"/>
      <c r="D21" s="6"/>
      <c r="E21" s="6"/>
      <c r="F21" s="6"/>
    </row>
    <row r="22" spans="1:6" ht="30" customHeight="1" x14ac:dyDescent="0.25">
      <c r="A22" s="11" t="s">
        <v>33</v>
      </c>
      <c r="B22" s="7" t="s">
        <v>34</v>
      </c>
      <c r="C22" s="6"/>
      <c r="D22" s="6"/>
      <c r="E22" s="6"/>
      <c r="F22" s="6"/>
    </row>
    <row r="23" spans="1:6" ht="30" customHeight="1" x14ac:dyDescent="0.25">
      <c r="A23" s="11" t="s">
        <v>35</v>
      </c>
      <c r="B23" s="8" t="s">
        <v>36</v>
      </c>
      <c r="C23" s="6"/>
      <c r="D23" s="6"/>
      <c r="E23" s="6"/>
      <c r="F23" s="6"/>
    </row>
  </sheetData>
  <mergeCells count="5">
    <mergeCell ref="A13:F13"/>
    <mergeCell ref="A1:F1"/>
    <mergeCell ref="B5:F5"/>
    <mergeCell ref="A8:F8"/>
    <mergeCell ref="A20:F20"/>
  </mergeCells>
  <dataValidations count="1">
    <dataValidation type="list" sqref="F4" xr:uid="{00000000-0002-0000-0000-000000000000}">
      <formula1>"Light,Medium,Strong"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Lessa do Prado</cp:lastModifiedBy>
  <dcterms:modified xsi:type="dcterms:W3CDTF">2026-05-28T02:36:13Z</dcterms:modified>
</cp:coreProperties>
</file>